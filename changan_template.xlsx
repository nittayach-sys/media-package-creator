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ttaya\Downloads\"/>
    </mc:Choice>
  </mc:AlternateContent>
  <xr:revisionPtr revIDLastSave="0" documentId="8_{12996D10-2FD7-4A4E-80AB-998CB2077FFD}" xr6:coauthVersionLast="47" xr6:coauthVersionMax="47" xr10:uidLastSave="{00000000-0000-0000-0000-000000000000}"/>
  <bookViews>
    <workbookView xWindow="-110" yWindow="-110" windowWidth="19420" windowHeight="11500" tabRatio="722" xr2:uid="{00000000-000D-0000-FFFF-FFFF00000000}"/>
  </bookViews>
  <sheets>
    <sheet name="Media Pack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/>
  <c r="R13" i="1"/>
  <c r="S13" i="1"/>
  <c r="P13" i="1"/>
  <c r="L13" i="1"/>
  <c r="K11" i="1"/>
  <c r="M11" i="1" s="1"/>
  <c r="K12" i="1"/>
  <c r="M12" i="1" s="1"/>
  <c r="K10" i="1"/>
  <c r="K13" i="1" l="1"/>
  <c r="M10" i="1"/>
  <c r="M13" i="1" s="1"/>
  <c r="H13" i="1"/>
  <c r="I13" i="1"/>
  <c r="J13" i="1"/>
  <c r="N13" i="1" l="1"/>
</calcChain>
</file>

<file path=xl/sharedStrings.xml><?xml version="1.0" encoding="utf-8"?>
<sst xmlns="http://schemas.openxmlformats.org/spreadsheetml/2006/main" count="70" uniqueCount="54">
  <si>
    <t>CAMPAIGN INVESTMENT</t>
  </si>
  <si>
    <t xml:space="preserve">Media Package </t>
  </si>
  <si>
    <t>Type of Media</t>
  </si>
  <si>
    <t>Media</t>
  </si>
  <si>
    <t>Quantity</t>
  </si>
  <si>
    <t>Period</t>
  </si>
  <si>
    <t>Duration 
(Month)</t>
  </si>
  <si>
    <t>Media Investment</t>
  </si>
  <si>
    <t>Total Media Investment</t>
  </si>
  <si>
    <t>Remark</t>
  </si>
  <si>
    <t xml:space="preserve">Normal Rate </t>
  </si>
  <si>
    <t>Agency Rate</t>
  </si>
  <si>
    <t>THB/Month</t>
  </si>
  <si>
    <t>Remarks:</t>
  </si>
  <si>
    <t>1. ราคาดังกล่าวยังไม่รวม Vat7%</t>
  </si>
  <si>
    <t>3. กรณีลูกค้ามีความประสงค์ในการการเปลี่ยนแปลงหรือยกเลิกสัญญา จะต้องแจ้งให้บริษัทฯ ทราบเป็นลายลักษณ์อักษรล่วงหน้า 30 วันสำหรับสื่อ Digital และล่วงหน้า 60 วันสำหรับสื่อ Static ก่อนวันที่มีความประสงค์เปลี่ยนแปลงหรือยกเลิกสัญญา</t>
  </si>
  <si>
    <t>4. หากมิได้มีการแจ้งล่วงหน้าตามที่ได้กำหนด ทางบริษัทฯ ขอเรียกเก็บค่าปรับเป็นค่าเช่าสื่อโฆษณา 30 วัน หรือขอเรียกเก็บจำนวนค่าสื่อโฆษณาทั้งหมดตามที่ระบุในสัญญา (หากสัญญาคงเหลือไม่ถึง 30 วัน)</t>
  </si>
  <si>
    <t>Total</t>
  </si>
  <si>
    <t>Detail</t>
  </si>
  <si>
    <t>Prime Office</t>
  </si>
  <si>
    <t>1.5 Mins/Loop</t>
  </si>
  <si>
    <t>1,986 Screens
(Guarantee 1,491 screens)</t>
  </si>
  <si>
    <t>993 Screens
(Guarantee 744 screens)</t>
  </si>
  <si>
    <t>Prime Office (Pack A)</t>
  </si>
  <si>
    <t>Prime Office (Pack B)</t>
  </si>
  <si>
    <r>
      <t xml:space="preserve">2. บริษัทฯ เปิดการขายในรูปแบบ </t>
    </r>
    <r>
      <rPr>
        <b/>
        <sz val="10"/>
        <color rgb="FFFF0000"/>
        <rFont val="Aptos Narrow"/>
        <family val="2"/>
      </rPr>
      <t xml:space="preserve">First come first served </t>
    </r>
    <r>
      <rPr>
        <sz val="10"/>
        <rFont val="Aptos Narrow"/>
        <family val="2"/>
      </rPr>
      <t xml:space="preserve">เท่านั้น หากต้องการใช้สื่อรบกวนแจ้ง recheck สื่อก่อน confirm media อีกครั้ง </t>
    </r>
  </si>
  <si>
    <t>เงื่อนไขการบริการทำไฟล์สำหรับสื่อดิจิตอล ต่อสื่อ/แพค</t>
  </si>
  <si>
    <t>No. of Spot</t>
  </si>
  <si>
    <t>Service Rate</t>
  </si>
  <si>
    <t>Version 1-3</t>
  </si>
  <si>
    <t>FREE</t>
  </si>
  <si>
    <t>Version 4 Onwards</t>
  </si>
  <si>
    <t>20,000 THB / Version</t>
  </si>
  <si>
    <t xml:space="preserve">*สำหรับลูกค้าที่ส่ง spot มาเกิน 3 Versions ตั้งเเต่ Version ที่ 4 เป็นต้นไป จะคิดราคา 20,000 บาท / Version  </t>
  </si>
  <si>
    <t>Service</t>
  </si>
  <si>
    <t>Service Rates</t>
  </si>
  <si>
    <t>Edit  Animation Prove 1-3</t>
  </si>
  <si>
    <t>Edit  Animation Prove 4 Onwards</t>
  </si>
  <si>
    <t>7,000 THB / Version</t>
  </si>
  <si>
    <t>*สำหรับ 1 Version สามารถเเก้ไขได้ 3 ครั้ง ตั้งเเต่ครั้งที่ 4 เป็นต้นไป จะคิดราคา 7,000 บาท / ครั้ง / Version</t>
  </si>
  <si>
    <t>Digital</t>
  </si>
  <si>
    <t>Product: Changan</t>
  </si>
  <si>
    <t>Date : 27 Jul 2026</t>
  </si>
  <si>
    <t>1 Oct - 31 Dec'26</t>
  </si>
  <si>
    <t>Total Media Cost</t>
  </si>
  <si>
    <t>Production</t>
  </si>
  <si>
    <t>Tax 3 (THB)</t>
  </si>
  <si>
    <t>Q1</t>
  </si>
  <si>
    <t>Q2</t>
  </si>
  <si>
    <t>Q3</t>
  </si>
  <si>
    <t>Q4</t>
  </si>
  <si>
    <t>Media Proposal</t>
  </si>
  <si>
    <t>Material Guideline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</si>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</sst>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7">
    <font>
      <sz val="11"/>
      <color theme="1"/>
      <name val="Calibri"/>
      <family val="2"/>
      <charset val="22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0"/>
      <name val="Aptos Narrow"/>
      <family val="2"/>
    </font>
    <font>
      <b/>
      <sz val="10"/>
      <color rgb="FFFF0000"/>
      <name val="Aptos Narrow"/>
      <family val="2"/>
    </font>
    <font>
      <sz val="10"/>
      <color theme="1"/>
      <name val="Aptos Narrow"/>
      <family val="2"/>
    </font>
    <font>
      <sz val="10"/>
      <color rgb="FFFF0000"/>
      <name val="Aptos Narrow"/>
      <family val="2"/>
    </font>
    <font>
      <b/>
      <u/>
      <sz val="10"/>
      <color rgb="FFFF0000"/>
      <name val="Aptos Narrow"/>
      <family val="2"/>
    </font>
    <font>
      <sz val="10"/>
      <color rgb="FF000000"/>
      <name val="Aptos Narrow"/>
      <family val="2"/>
    </font>
    <font>
      <sz val="10"/>
      <color rgb="FFFF0000"/>
      <name val="Tahoma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vertical="center" wrapText="1"/>
    </xf>
    <xf numFmtId="3" fontId="4" fillId="0" borderId="4" xfId="0" applyNumberFormat="1" applyFont="1" applyBorder="1" applyAlignment="1">
      <alignment horizontal="right" vertical="center"/>
    </xf>
    <xf numFmtId="17" fontId="4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right" vertical="center" wrapText="1"/>
    </xf>
    <xf numFmtId="3" fontId="8" fillId="4" borderId="4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/>
    <xf numFmtId="0" fontId="9" fillId="0" borderId="0" xfId="1" quotePrefix="1" applyFont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5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 wrapText="1"/>
    </xf>
    <xf numFmtId="3" fontId="16" fillId="4" borderId="4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164" fontId="3" fillId="7" borderId="4" xfId="0" applyNumberFormat="1" applyFont="1" applyFill="1" applyBorder="1" applyAlignment="1">
      <alignment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0" fillId="0" borderId="0" xfId="0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showGridLines="0" tabSelected="1" zoomScale="66" zoomScaleNormal="70" workbookViewId="0">
      <selection activeCell="F12" sqref="F12"/>
    </sheetView>
  </sheetViews>
  <sheetFormatPr defaultRowHeight="14.5"/>
  <cols>
    <col min="1" max="1" width="3" customWidth="1"/>
    <col min="2" max="2" width="14.54296875" customWidth="1"/>
    <col min="3" max="3" width="33.7265625" customWidth="1"/>
    <col min="4" max="4" width="26.1796875" customWidth="1"/>
    <col min="5" max="5" width="21.26953125" customWidth="1"/>
    <col min="6" max="6" width="22.6328125" customWidth="1"/>
    <col min="7" max="8" width="17.08984375" customWidth="1"/>
    <col min="9" max="9" width="17.08984375" hidden="1" customWidth="1"/>
    <col min="10" max="11" width="21.36328125" customWidth="1"/>
    <col min="12" max="12" width="13.81640625" customWidth="1"/>
    <col min="13" max="13" width="24.6328125" customWidth="1"/>
    <col min="14" max="14" width="26.54296875" hidden="1" customWidth="1"/>
    <col min="15" max="15" width="4.08984375" customWidth="1"/>
    <col min="16" max="19" width="10.26953125" customWidth="1"/>
    <col min="20" max="20" width="4.1796875" customWidth="1"/>
    <col min="21" max="22" width="17.26953125" customWidth="1"/>
  </cols>
  <sheetData>
    <row r="1" spans="1:22">
      <c r="A1" s="1"/>
      <c r="B1" s="1"/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2">
      <c r="A2" s="1"/>
      <c r="B2" s="3" t="s">
        <v>0</v>
      </c>
      <c r="C2" s="1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2">
      <c r="A3" s="1"/>
      <c r="B3" s="3" t="s">
        <v>41</v>
      </c>
      <c r="C3" s="1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2">
      <c r="A4" s="1"/>
      <c r="B4" s="6" t="s">
        <v>42</v>
      </c>
      <c r="C4" s="7"/>
      <c r="D4" s="5"/>
      <c r="E4" s="5"/>
      <c r="F4" s="1"/>
      <c r="G4" s="7"/>
      <c r="H4" s="4"/>
      <c r="I4" s="4"/>
      <c r="J4" s="4"/>
      <c r="K4" s="4"/>
      <c r="L4" s="4"/>
      <c r="M4" s="1"/>
      <c r="N4" s="1"/>
      <c r="O4" s="1"/>
      <c r="P4" s="1"/>
      <c r="Q4" s="1"/>
      <c r="R4" s="1"/>
      <c r="S4" s="1"/>
    </row>
    <row r="5" spans="1:22">
      <c r="A5" s="1"/>
      <c r="B5" s="6"/>
      <c r="C5" s="7"/>
      <c r="D5" s="5"/>
      <c r="E5" s="5"/>
      <c r="F5" s="1"/>
      <c r="G5" s="7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</row>
    <row r="6" spans="1:22">
      <c r="A6" s="1"/>
      <c r="B6" s="8" t="s">
        <v>1</v>
      </c>
      <c r="C6" s="7"/>
      <c r="D6" s="5"/>
      <c r="E6" s="5"/>
      <c r="F6" s="1"/>
      <c r="G6" s="7"/>
      <c r="H6" s="4"/>
      <c r="I6" s="4"/>
      <c r="J6" s="4"/>
      <c r="K6" s="4"/>
      <c r="L6" s="4"/>
      <c r="M6" s="1"/>
      <c r="N6" s="1"/>
      <c r="O6" s="1"/>
      <c r="P6" s="1"/>
      <c r="Q6" s="1"/>
      <c r="R6" s="1"/>
      <c r="S6" s="1"/>
    </row>
    <row r="7" spans="1:22" ht="14.5" customHeight="1">
      <c r="A7" s="1"/>
      <c r="B7" s="37" t="s">
        <v>2</v>
      </c>
      <c r="C7" s="37" t="s">
        <v>3</v>
      </c>
      <c r="D7" s="37" t="s">
        <v>4</v>
      </c>
      <c r="E7" s="37" t="s">
        <v>18</v>
      </c>
      <c r="F7" s="37" t="s">
        <v>5</v>
      </c>
      <c r="G7" s="38" t="s">
        <v>6</v>
      </c>
      <c r="H7" s="41" t="s">
        <v>7</v>
      </c>
      <c r="I7" s="42"/>
      <c r="J7" s="43"/>
      <c r="K7" s="53" t="s">
        <v>44</v>
      </c>
      <c r="L7" s="53" t="s">
        <v>45</v>
      </c>
      <c r="M7" s="44" t="s">
        <v>8</v>
      </c>
      <c r="N7" s="35" t="s">
        <v>9</v>
      </c>
      <c r="O7" s="59"/>
      <c r="P7" s="61" t="s">
        <v>46</v>
      </c>
      <c r="Q7" s="62"/>
      <c r="R7" s="62"/>
      <c r="S7" s="63"/>
      <c r="U7" s="67" t="s">
        <v>51</v>
      </c>
      <c r="V7" s="67" t="s">
        <v>52</v>
      </c>
    </row>
    <row r="8" spans="1:22">
      <c r="A8" s="1"/>
      <c r="B8" s="37"/>
      <c r="C8" s="37"/>
      <c r="D8" s="37"/>
      <c r="E8" s="37"/>
      <c r="F8" s="37"/>
      <c r="G8" s="39"/>
      <c r="H8" s="10" t="s">
        <v>10</v>
      </c>
      <c r="I8" s="10" t="s">
        <v>11</v>
      </c>
      <c r="J8" s="10" t="s">
        <v>11</v>
      </c>
      <c r="K8" s="54"/>
      <c r="L8" s="54"/>
      <c r="M8" s="45"/>
      <c r="N8" s="35"/>
      <c r="O8" s="59"/>
      <c r="P8" s="64" t="s">
        <v>47</v>
      </c>
      <c r="Q8" s="64" t="s">
        <v>48</v>
      </c>
      <c r="R8" s="64" t="s">
        <v>49</v>
      </c>
      <c r="S8" s="64" t="s">
        <v>50</v>
      </c>
      <c r="U8" s="68"/>
      <c r="V8" s="68"/>
    </row>
    <row r="9" spans="1:22">
      <c r="A9" s="1"/>
      <c r="B9" s="37"/>
      <c r="C9" s="37"/>
      <c r="D9" s="37"/>
      <c r="E9" s="37"/>
      <c r="F9" s="37"/>
      <c r="G9" s="40"/>
      <c r="H9" s="10" t="s">
        <v>12</v>
      </c>
      <c r="I9" s="10" t="s">
        <v>12</v>
      </c>
      <c r="J9" s="10" t="s">
        <v>12</v>
      </c>
      <c r="K9" s="55"/>
      <c r="L9" s="55"/>
      <c r="M9" s="46"/>
      <c r="N9" s="35"/>
      <c r="O9" s="59"/>
      <c r="P9" s="65"/>
      <c r="Q9" s="65"/>
      <c r="R9" s="65"/>
      <c r="S9" s="65"/>
      <c r="U9" s="69"/>
      <c r="V9" s="69"/>
    </row>
    <row r="10" spans="1:22" ht="43.5" customHeight="1">
      <c r="A10" s="1"/>
      <c r="B10" s="11" t="s">
        <v>40</v>
      </c>
      <c r="C10" s="11" t="s">
        <v>19</v>
      </c>
      <c r="D10" s="18" t="s">
        <v>21</v>
      </c>
      <c r="E10" s="16" t="s">
        <v>20</v>
      </c>
      <c r="F10" s="15" t="s">
        <v>43</v>
      </c>
      <c r="G10" s="17">
        <v>3</v>
      </c>
      <c r="H10" s="14">
        <v>735000</v>
      </c>
      <c r="I10" s="14">
        <v>1897500</v>
      </c>
      <c r="J10" s="14">
        <v>550000</v>
      </c>
      <c r="K10" s="14">
        <f>J10*G10</f>
        <v>1650000</v>
      </c>
      <c r="L10" s="56">
        <v>0</v>
      </c>
      <c r="M10" s="33">
        <f>K10+L10</f>
        <v>1650000</v>
      </c>
      <c r="N10" s="12"/>
      <c r="O10" s="59"/>
      <c r="P10" s="58">
        <v>0</v>
      </c>
      <c r="Q10" s="58">
        <v>0</v>
      </c>
      <c r="R10" s="58">
        <v>0</v>
      </c>
      <c r="S10" s="58">
        <v>0</v>
      </c>
      <c r="U10" s="17" t="s">
        <v>53</v>
      </c>
      <c r="V10" s="17" t="s">
        <v>53</v>
      </c>
    </row>
    <row r="11" spans="1:22" ht="43.5" customHeight="1">
      <c r="A11" s="1"/>
      <c r="B11" s="11" t="s">
        <v>40</v>
      </c>
      <c r="C11" s="11" t="s">
        <v>23</v>
      </c>
      <c r="D11" s="18" t="s">
        <v>22</v>
      </c>
      <c r="E11" s="16" t="s">
        <v>20</v>
      </c>
      <c r="F11" s="15" t="s">
        <v>43</v>
      </c>
      <c r="G11" s="17">
        <v>3</v>
      </c>
      <c r="H11" s="14">
        <v>440000</v>
      </c>
      <c r="I11" s="14">
        <v>1897500</v>
      </c>
      <c r="J11" s="14">
        <v>330000</v>
      </c>
      <c r="K11" s="14">
        <f t="shared" ref="K11:K12" si="0">J11*G11</f>
        <v>990000</v>
      </c>
      <c r="L11" s="56">
        <v>0</v>
      </c>
      <c r="M11" s="33">
        <f t="shared" ref="M11:M12" si="1">K11+L11</f>
        <v>990000</v>
      </c>
      <c r="N11" s="12"/>
      <c r="O11" s="59"/>
      <c r="P11" s="58">
        <v>0</v>
      </c>
      <c r="Q11" s="58">
        <v>0</v>
      </c>
      <c r="R11" s="58">
        <v>0</v>
      </c>
      <c r="S11" s="58">
        <v>0</v>
      </c>
      <c r="U11" s="17" t="s">
        <v>53</v>
      </c>
      <c r="V11" s="17" t="s">
        <v>53</v>
      </c>
    </row>
    <row r="12" spans="1:22" ht="43.5" customHeight="1">
      <c r="A12" s="1"/>
      <c r="B12" s="11" t="s">
        <v>40</v>
      </c>
      <c r="C12" s="11" t="s">
        <v>24</v>
      </c>
      <c r="D12" s="18" t="s">
        <v>22</v>
      </c>
      <c r="E12" s="16" t="s">
        <v>20</v>
      </c>
      <c r="F12" s="15" t="s">
        <v>43</v>
      </c>
      <c r="G12" s="17">
        <v>3</v>
      </c>
      <c r="H12" s="14">
        <v>440000</v>
      </c>
      <c r="I12" s="14">
        <v>1897500</v>
      </c>
      <c r="J12" s="14">
        <v>330000</v>
      </c>
      <c r="K12" s="14">
        <f t="shared" si="0"/>
        <v>990000</v>
      </c>
      <c r="L12" s="56">
        <v>0</v>
      </c>
      <c r="M12" s="33">
        <f t="shared" si="1"/>
        <v>990000</v>
      </c>
      <c r="N12" s="12"/>
      <c r="O12" s="59"/>
      <c r="P12" s="58">
        <v>0</v>
      </c>
      <c r="Q12" s="58">
        <v>0</v>
      </c>
      <c r="R12" s="58">
        <v>0</v>
      </c>
      <c r="S12" s="58">
        <v>0</v>
      </c>
      <c r="U12" s="17" t="s">
        <v>53</v>
      </c>
      <c r="V12" s="17" t="s">
        <v>53</v>
      </c>
    </row>
    <row r="13" spans="1:22" ht="43.5" customHeight="1">
      <c r="A13" s="9"/>
      <c r="B13" s="36" t="s">
        <v>17</v>
      </c>
      <c r="C13" s="36"/>
      <c r="D13" s="36"/>
      <c r="E13" s="36"/>
      <c r="F13" s="36"/>
      <c r="G13" s="19"/>
      <c r="H13" s="20">
        <f>SUM(H10:H12)</f>
        <v>1615000</v>
      </c>
      <c r="I13" s="20">
        <f t="shared" ref="I13:M13" si="2">SUM(I10:I12)</f>
        <v>5692500</v>
      </c>
      <c r="J13" s="20">
        <f t="shared" si="2"/>
        <v>1210000</v>
      </c>
      <c r="K13" s="20">
        <f>SUM(K10:K12)</f>
        <v>3630000</v>
      </c>
      <c r="L13" s="57">
        <f t="shared" si="2"/>
        <v>0</v>
      </c>
      <c r="M13" s="34">
        <f t="shared" si="2"/>
        <v>3630000</v>
      </c>
      <c r="N13" s="13" t="e">
        <f>SUM(#REF!)</f>
        <v>#REF!</v>
      </c>
      <c r="O13" s="60"/>
      <c r="P13" s="66">
        <f>SUM(P10:P12)</f>
        <v>0</v>
      </c>
      <c r="Q13" s="66">
        <f t="shared" ref="Q13:S13" si="3">SUM(Q10:Q12)</f>
        <v>0</v>
      </c>
      <c r="R13" s="66">
        <f t="shared" si="3"/>
        <v>0</v>
      </c>
      <c r="S13" s="66">
        <f t="shared" si="3"/>
        <v>0</v>
      </c>
      <c r="U13" s="70"/>
      <c r="V13" s="70"/>
    </row>
    <row r="14" spans="1:22" s="24" customFormat="1" ht="13">
      <c r="A14" s="21"/>
      <c r="B14" s="22" t="s">
        <v>13</v>
      </c>
      <c r="C14" s="22"/>
      <c r="D14" s="21"/>
      <c r="E14" s="23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22" s="24" customFormat="1" ht="13">
      <c r="A15" s="21"/>
      <c r="B15" s="25" t="s">
        <v>14</v>
      </c>
      <c r="C15" s="25"/>
      <c r="D15" s="26"/>
      <c r="E15" s="23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22" s="24" customFormat="1" ht="13">
      <c r="A16" s="21"/>
      <c r="B16" s="27" t="s">
        <v>25</v>
      </c>
      <c r="C16" s="27"/>
      <c r="D16" s="21"/>
      <c r="E16" s="23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s="24" customFormat="1" ht="13">
      <c r="A17" s="21"/>
      <c r="B17" s="27" t="s">
        <v>15</v>
      </c>
      <c r="C17" s="27"/>
      <c r="D17" s="21"/>
      <c r="E17" s="23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s="24" customFormat="1" ht="13">
      <c r="B18" s="27" t="s">
        <v>16</v>
      </c>
      <c r="C18" s="27"/>
    </row>
    <row r="19" spans="1:19" s="24" customFormat="1" ht="9.5" customHeight="1">
      <c r="B19" s="28"/>
      <c r="C19" s="28"/>
    </row>
    <row r="20" spans="1:19" s="24" customFormat="1" ht="13.5" thickBot="1">
      <c r="B20" s="29" t="s">
        <v>26</v>
      </c>
      <c r="C20" s="29"/>
    </row>
    <row r="21" spans="1:19" s="24" customFormat="1" ht="17" customHeight="1" thickBot="1">
      <c r="B21" s="49" t="s">
        <v>27</v>
      </c>
      <c r="C21" s="50"/>
      <c r="D21" s="30" t="s">
        <v>28</v>
      </c>
    </row>
    <row r="22" spans="1:19" s="24" customFormat="1" ht="17" customHeight="1" thickBot="1">
      <c r="B22" s="47" t="s">
        <v>29</v>
      </c>
      <c r="C22" s="48"/>
      <c r="D22" s="31" t="s">
        <v>30</v>
      </c>
    </row>
    <row r="23" spans="1:19" s="24" customFormat="1" ht="17" customHeight="1" thickBot="1">
      <c r="B23" s="47" t="s">
        <v>31</v>
      </c>
      <c r="C23" s="48"/>
      <c r="D23" s="31" t="s">
        <v>32</v>
      </c>
    </row>
    <row r="24" spans="1:19" s="24" customFormat="1" ht="13">
      <c r="B24" s="24" t="s">
        <v>33</v>
      </c>
    </row>
    <row r="25" spans="1:19" s="24" customFormat="1" ht="13.5" thickBot="1"/>
    <row r="26" spans="1:19" s="24" customFormat="1" ht="17" customHeight="1" thickBot="1">
      <c r="B26" s="51" t="s">
        <v>34</v>
      </c>
      <c r="C26" s="52"/>
      <c r="D26" s="32" t="s">
        <v>35</v>
      </c>
    </row>
    <row r="27" spans="1:19" s="24" customFormat="1" ht="15" customHeight="1" thickBot="1">
      <c r="B27" s="47" t="s">
        <v>36</v>
      </c>
      <c r="C27" s="48"/>
      <c r="D27" s="31" t="s">
        <v>30</v>
      </c>
    </row>
    <row r="28" spans="1:19" s="24" customFormat="1" ht="15" customHeight="1" thickBot="1">
      <c r="B28" s="47" t="s">
        <v>37</v>
      </c>
      <c r="C28" s="48"/>
      <c r="D28" s="31" t="s">
        <v>38</v>
      </c>
    </row>
    <row r="29" spans="1:19" s="24" customFormat="1" ht="13">
      <c r="B29" s="24" t="s">
        <v>39</v>
      </c>
    </row>
  </sheetData>
  <mergeCells count="25">
    <mergeCell ref="U7:U9"/>
    <mergeCell ref="V7:V9"/>
    <mergeCell ref="P7:S7"/>
    <mergeCell ref="P8:P9"/>
    <mergeCell ref="Q8:Q9"/>
    <mergeCell ref="R8:R9"/>
    <mergeCell ref="S8:S9"/>
    <mergeCell ref="B28:C28"/>
    <mergeCell ref="B21:C21"/>
    <mergeCell ref="B22:C22"/>
    <mergeCell ref="B23:C23"/>
    <mergeCell ref="B26:C26"/>
    <mergeCell ref="B27:C27"/>
    <mergeCell ref="N7:N9"/>
    <mergeCell ref="B13:F13"/>
    <mergeCell ref="B7:B9"/>
    <mergeCell ref="C7:C9"/>
    <mergeCell ref="D7:D9"/>
    <mergeCell ref="F7:F9"/>
    <mergeCell ref="E7:E9"/>
    <mergeCell ref="G7:G9"/>
    <mergeCell ref="H7:J7"/>
    <mergeCell ref="M7:M9"/>
    <mergeCell ref="K7:K9"/>
    <mergeCell ref="L7:L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Tawadchai Sanuksan</dc:creator>
  <cp:lastModifiedBy>nittaya chisila</cp:lastModifiedBy>
  <dcterms:created xsi:type="dcterms:W3CDTF">2025-04-04T01:57:31Z</dcterms:created>
  <dcterms:modified xsi:type="dcterms:W3CDTF">2026-09-15T13:33:59Z</dcterms:modified>
</cp:coreProperties>
</file>